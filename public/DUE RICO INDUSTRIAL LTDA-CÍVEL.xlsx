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bpplaw2.sharepoint.com/sites/gestores/Documentos Compartilhados/7. Due Diligence/Clientes/RICO INDUSTRIAL/CÍVEL/"/>
    </mc:Choice>
  </mc:AlternateContent>
  <xr:revisionPtr revIDLastSave="110" documentId="13_ncr:1_{6E95BB77-E0D4-4784-9B6B-3EA7AD249C07}" xr6:coauthVersionLast="47" xr6:coauthVersionMax="47" xr10:uidLastSave="{EB4D55B3-1AF3-423F-97FE-9288F0414A78}"/>
  <bookViews>
    <workbookView xWindow="-108" yWindow="-108" windowWidth="23256" windowHeight="12456" activeTab="1" xr2:uid="{A14F7BCD-15D6-40AF-BA69-476BE98FAEA5}"/>
  </bookViews>
  <sheets>
    <sheet name="Planilha2" sheetId="2" r:id="rId1"/>
    <sheet name="Planilha1" sheetId="1" r:id="rId2"/>
  </sheets>
  <definedNames>
    <definedName name="_xlnm._FilterDatabase" localSheetId="1" hidden="1">Planilha1!$A$1:$P$23</definedName>
  </definedNames>
  <calcPr calcId="191028"/>
  <pivotCaches>
    <pivotCache cacheId="587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<sst xmlns="http://schemas.openxmlformats.org/spreadsheetml/2006/main" count="221" uniqueCount="79">
  <si>
    <t>CLASSE</t>
  </si>
  <si>
    <t>(Vários itens)</t>
  </si>
  <si>
    <t>Rótulos de Linha</t>
  </si>
  <si>
    <t>Contagem de ID CLIENTE</t>
  </si>
  <si>
    <t>ATIVO</t>
  </si>
  <si>
    <t>PASSIVO</t>
  </si>
  <si>
    <t>Total Geral</t>
  </si>
  <si>
    <t>NÚMERO PROCESSO</t>
  </si>
  <si>
    <t>TIPO</t>
  </si>
  <si>
    <t>TRÂMITE</t>
  </si>
  <si>
    <t>FORO</t>
  </si>
  <si>
    <t>VARA</t>
  </si>
  <si>
    <t>ANO</t>
  </si>
  <si>
    <t>VALOR DA CAUSA</t>
  </si>
  <si>
    <t>POLO ATIVO PRINCIPAL</t>
  </si>
  <si>
    <t>POLO PASSIVO PRINCIPAL</t>
  </si>
  <si>
    <t>POLO CLIENTE</t>
  </si>
  <si>
    <t>POSIÇÃO DO CLIENTE</t>
  </si>
  <si>
    <t>ID CLIENTE</t>
  </si>
  <si>
    <t>SÓCIO POLO PASSIVO</t>
  </si>
  <si>
    <t>SITUAÇÃO PROCESSUAL</t>
  </si>
  <si>
    <t>FASE</t>
  </si>
  <si>
    <t>4028544-13.2026.8.26.0100</t>
  </si>
  <si>
    <t>EXECUÇÃO DE TÍTULO EXTRAJUDICIAL</t>
  </si>
  <si>
    <t>SP</t>
  </si>
  <si>
    <t>TRUSTHUB SECURITIZADORA S.A.</t>
  </si>
  <si>
    <t>ANDREZA ALENCAR, RICO INDUSTRIAL LTDA</t>
  </si>
  <si>
    <t>EXECUTADO</t>
  </si>
  <si>
    <t>RICO INDUSTRIAL LTDA</t>
  </si>
  <si>
    <t>NÃO</t>
  </si>
  <si>
    <t>EM TRÂMITE</t>
  </si>
  <si>
    <t>EXECUÇÃO</t>
  </si>
  <si>
    <t>0004724-67.2026.8.16.0017</t>
  </si>
  <si>
    <t>AÇÃO DECLARATÓRIA</t>
  </si>
  <si>
    <t>PR</t>
  </si>
  <si>
    <t>JDS DISTRIBUIDORA DE ALIMENTOS</t>
  </si>
  <si>
    <t>ARP CONSULTORIA LTDA, RICO INDUSTRIAL LTDA</t>
  </si>
  <si>
    <t>REQUERIDO</t>
  </si>
  <si>
    <t>CONHECIMENTO</t>
  </si>
  <si>
    <t>4002605-07.2026.8.26.0011</t>
  </si>
  <si>
    <t>SC FUNDO DE INVESTIMENTO EM DIREITOS CREDITORIOS, SIGMA CREDIT FUNDO DE INVESTIMENTO EM DIREITOS CREDITORIOS</t>
  </si>
  <si>
    <t>SIM</t>
  </si>
  <si>
    <t>4002062-27.2026.8.26.0068</t>
  </si>
  <si>
    <t>AÇÃO DE RESCISÃO CONTRATUAL</t>
  </si>
  <si>
    <t>MANGINI ASSESSORIA EMPRESARIAL LTDA</t>
  </si>
  <si>
    <t>REQUERENTE</t>
  </si>
  <si>
    <t>4000627-18.2026.8.26.0068</t>
  </si>
  <si>
    <t>SAINTE MARIE IMPORTACAO E EXPORTACAO LTDA</t>
  </si>
  <si>
    <t>4011157-18.2025.8.26.0068</t>
  </si>
  <si>
    <t>EMBARGOS À EXECUÇÃO</t>
  </si>
  <si>
    <t>RICO INDUSTRIAL LTDA, ANDREZA ALENCAR</t>
  </si>
  <si>
    <t>NOVA CAPITAL FUNDO DE INVESTIMENTO EM DIREITOS CREDITORIOS</t>
  </si>
  <si>
    <t>EMBARGANTE</t>
  </si>
  <si>
    <t>4011155-48.2025.8.26.0068</t>
  </si>
  <si>
    <t>PLATA I FUNDO DE INVESTIMENTO EM DIREITOS CREDITORIOS MULTISSEGMENTOS</t>
  </si>
  <si>
    <t>4008097-37.2025.8.26.0068</t>
  </si>
  <si>
    <t>4006618-09.2025.8.26.0068</t>
  </si>
  <si>
    <t>AÇÃO DE REINTEGRAÇÃO DE POSSE</t>
  </si>
  <si>
    <t>EXTRUSION SYSTEM INDUSTRIA E COMERCIO DE MAQUINAS LTDA</t>
  </si>
  <si>
    <t>4006457-96.2025.8.26.0068</t>
  </si>
  <si>
    <t>4039082-87.2025.8.26.0100</t>
  </si>
  <si>
    <t>4003757-02.2025.8.26.0278</t>
  </si>
  <si>
    <t>SEGPLAST INDUSTRIA E COM DE EMBALAGENS PLASTICAS LTDA</t>
  </si>
  <si>
    <t>BUCAREST BANCO FUNDO DE INVESTIMENTO EM DIREITOS CREDITORIOS INDUSTRIAL - RESPONSABILIDADE LIMITADA, RICO INDUSTRIAL LTDA</t>
  </si>
  <si>
    <t>0008836-78.2025.8.26.0068</t>
  </si>
  <si>
    <t>CUMPRIMENTO DE SENTENÇA</t>
  </si>
  <si>
    <t>GARCIA PEREZ SOCIEDADE DE ADVOGADOS</t>
  </si>
  <si>
    <t>0002384-13.2025.8.16.0074</t>
  </si>
  <si>
    <t>VIP COMERCIO DE PLASTICOS EIRELI</t>
  </si>
  <si>
    <t>4000546-75.2025.8.26.0045</t>
  </si>
  <si>
    <t>POLIPRINT INDUSTRIA E COMERCIO DE EMBALAGENS PLASTICAS LTDA</t>
  </si>
  <si>
    <t>0007467-64.2025.8.16.0056</t>
  </si>
  <si>
    <t>ABBAPLAST INDUSTRIA DE EMBALAGENS E PRODUTOS ALIMENTICIOS LTDA</t>
  </si>
  <si>
    <t>ARP CONSULTORIA LTDA, BBG FUNDO DE INVESTIMENTO EM DIREITOS CREDITORIOS, INVESTMAR - FACTORING FOMENTO MERCANTIL LTDA, RICO INDUSTRIAL LTDA</t>
  </si>
  <si>
    <t>1000250-39.2023.8.26.0542</t>
  </si>
  <si>
    <t>AÇÃO ANULATÓRIA</t>
  </si>
  <si>
    <t>GRENN INDUSTRIA E COMERCIO DE PLASTICOS EIRELI, BANCO BRADESCO S/A., FIDC DA INDUSTRIA EXODUS INSTITUCIONAL, BANCO BRADESCO S.A.</t>
  </si>
  <si>
    <t>1009294-49.2023.8.26.0068</t>
  </si>
  <si>
    <t>DONAPLASTIC COMERCIO E ATACADISTA DE EMBALAGENS E RESINAS PLASTICAS LTDA, BANCO SAFRA S/A, BANCO BRADESCO S.A., BANCO ABC BRASIL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</si>
</sst>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Moeda" xfId="1" builtinId="4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a Consul" refreshedDate="46091.613797106482" createdVersion="8" refreshedVersion="8" minRefreshableVersion="3" recordCount="18" xr:uid="{5F48E5A3-EC5B-4341-B47F-AA10441EC47C}">
  <cacheSource type="worksheet">
    <worksheetSource name="Tabela2"/>
  </cacheSource>
  <cacheFields count="16">
    <cacheField name="NÚMERO PROCESSO" numFmtId="0">
      <sharedItems/>
    </cacheField>
    <cacheField name="CLASSE" numFmtId="0">
      <sharedItems count="7">
        <s v="EXECUÇÃO DE TÍTULO EXTRAJUDICIAL"/>
        <s v="AÇÃO DECLARATÓRIA"/>
        <s v="AÇÃO DE RESCISÃO CONTRATUAL"/>
        <s v="EMBARGOS À EXECUÇÃO"/>
        <s v="AÇÃO DE REINTEGRAÇÃO DE POSSE"/>
        <s v="CUMPRIMENTO DE SENTENÇA"/>
        <s v="AÇÃO ANULATÓRIA"/>
      </sharedItems>
    </cacheField>
    <cacheField name="TIPO" numFmtId="0">
      <sharedItems containsNonDate="0" containsString="0" containsBlank="1"/>
    </cacheField>
    <cacheField name="TRÂMITE" numFmtId="0">
      <sharedItems containsNonDate="0" containsString="0" containsBlank="1"/>
    </cacheField>
    <cacheField name="FORO" numFmtId="0">
      <sharedItems/>
    </cacheField>
    <cacheField name="VARA" numFmtId="0">
      <sharedItems containsNonDate="0" containsString="0" containsBlank="1"/>
    </cacheField>
    <cacheField name="ANO" numFmtId="0">
      <sharedItems containsSemiMixedTypes="0" containsString="0" containsNumber="1" containsInteger="1" minValue="2023" maxValue="2026"/>
    </cacheField>
    <cacheField name="VALOR DA CAUSA" numFmtId="44">
      <sharedItems containsSemiMixedTypes="0" containsString="0" containsNumber="1" minValue="1000" maxValue="1687626.72"/>
    </cacheField>
    <cacheField name="POLO ATIVO PRINCIPAL" numFmtId="0">
      <sharedItems/>
    </cacheField>
    <cacheField name="POLO PASSIVO PRINCIPAL" numFmtId="0">
      <sharedItems/>
    </cacheField>
    <cacheField name="POLO CLIENTE" numFmtId="0">
      <sharedItems count="2">
        <s v="PASSIVO"/>
        <s v="ATIVO"/>
      </sharedItems>
    </cacheField>
    <cacheField name="POSIÇÃO DO CLIENTE" numFmtId="0">
      <sharedItems/>
    </cacheField>
    <cacheField name="ID CLIENTE" numFmtId="0">
      <sharedItems/>
    </cacheField>
    <cacheField name="SÓCIO POLO PASSIVO" numFmtId="0">
      <sharedItems/>
    </cacheField>
    <cacheField name="SITUAÇÃO PROCESSUAL" numFmtId="0">
      <sharedItems/>
    </cacheField>
    <cacheField name="FAS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4028544-13.2026.8.26.0100"/>
    <x v="0"/>
    <m/>
    <m/>
    <s v="SP"/>
    <m/>
    <n v="2026"/>
    <n v="454606.44"/>
    <s v="TRUSTHUB SECURITIZADORA S.A."/>
    <s v="ANDREZA ALENCAR, RICO INDUSTRIAL LTDA"/>
    <x v="0"/>
    <s v="EXECUTADO"/>
    <s v="RICO INDUSTRIAL LTDA"/>
    <s v="NÃO"/>
    <s v="EM TRÂMITE"/>
    <s v="EXECUÇÃO"/>
  </r>
  <r>
    <s v="0004724-67.2026.8.16.0017"/>
    <x v="1"/>
    <m/>
    <m/>
    <s v="PR"/>
    <m/>
    <n v="2026"/>
    <n v="1000"/>
    <s v="JDS DISTRIBUIDORA DE ALIMENTOS"/>
    <s v="ARP CONSULTORIA LTDA, RICO INDUSTRIAL LTDA"/>
    <x v="0"/>
    <s v="REQUERIDO"/>
    <s v="RICO INDUSTRIAL LTDA"/>
    <s v="NÃO"/>
    <s v="EM TRÂMITE"/>
    <s v="CONHECIMENTO"/>
  </r>
  <r>
    <s v="4002605-07.2026.8.26.0011"/>
    <x v="0"/>
    <m/>
    <m/>
    <s v="SP"/>
    <m/>
    <n v="2026"/>
    <n v="1003270.04"/>
    <s v="SC FUNDO DE INVESTIMENTO EM DIREITOS CREDITORIOS, SIGMA CREDIT FUNDO DE INVESTIMENTO EM DIREITOS CREDITORIOS"/>
    <s v="ANDREZA ALENCAR, RICO INDUSTRIAL LTDA"/>
    <x v="0"/>
    <s v="EXECUTADO"/>
    <s v="RICO INDUSTRIAL LTDA"/>
    <s v="SIM"/>
    <s v="EM TRÂMITE"/>
    <s v="EXECUÇÃO"/>
  </r>
  <r>
    <s v="4002062-27.2026.8.26.0068"/>
    <x v="2"/>
    <m/>
    <m/>
    <s v="SP"/>
    <m/>
    <n v="2026"/>
    <n v="18103.03"/>
    <s v="RICO INDUSTRIAL LTDA"/>
    <s v="MANGINI ASSESSORIA EMPRESARIAL LTDA"/>
    <x v="1"/>
    <s v="REQUERENTE"/>
    <s v="RICO INDUSTRIAL LTDA"/>
    <s v="NÃO"/>
    <s v="EM TRÂMITE"/>
    <s v="CONHECIMENTO"/>
  </r>
  <r>
    <s v="4000627-18.2026.8.26.0068"/>
    <x v="0"/>
    <m/>
    <m/>
    <s v="SP"/>
    <m/>
    <n v="2026"/>
    <n v="1687626.72"/>
    <s v="SAINTE MARIE IMPORTACAO E EXPORTACAO LTDA"/>
    <s v="RICO INDUSTRIAL LTDA"/>
    <x v="0"/>
    <s v="EXECUTADO"/>
    <s v="RICO INDUSTRIAL LTDA"/>
    <s v="NÃO"/>
    <s v="EM TRÂMITE"/>
    <s v="EXECUÇÃO"/>
  </r>
  <r>
    <s v="4011157-18.2025.8.26.0068"/>
    <x v="3"/>
    <m/>
    <m/>
    <s v="SP"/>
    <m/>
    <n v="2025"/>
    <n v="90870.66"/>
    <s v="RICO INDUSTRIAL LTDA, ANDREZA ALENCAR"/>
    <s v="NOVA CAPITAL FUNDO DE INVESTIMENTO EM DIREITOS CREDITORIOS"/>
    <x v="1"/>
    <s v="EMBARGANTE"/>
    <s v="RICO INDUSTRIAL LTDA"/>
    <s v="NÃO"/>
    <s v="EM TRÂMITE"/>
    <s v="CONHECIMENTO"/>
  </r>
  <r>
    <s v="4011155-48.2025.8.26.0068"/>
    <x v="3"/>
    <m/>
    <m/>
    <s v="SP"/>
    <m/>
    <n v="2025"/>
    <n v="142904.60999999999"/>
    <s v="RICO INDUSTRIAL LTDA"/>
    <s v="PLATA I FUNDO DE INVESTIMENTO EM DIREITOS CREDITORIOS MULTISSEGMENTOS"/>
    <x v="1"/>
    <s v="EMBARGANTE"/>
    <s v="RICO INDUSTRIAL LTDA"/>
    <s v="NÃO"/>
    <s v="EM TRÂMITE"/>
    <s v="CONHECIMENTO"/>
  </r>
  <r>
    <s v="4008097-37.2025.8.26.0068"/>
    <x v="0"/>
    <m/>
    <m/>
    <s v="SP"/>
    <m/>
    <n v="2025"/>
    <n v="90870.66"/>
    <s v="NOVA CAPITAL FUNDO DE INVESTIMENTO EM DIREITOS CREDITORIOS"/>
    <s v="ANDREZA ALENCAR, RICO INDUSTRIAL LTDA"/>
    <x v="0"/>
    <s v="EXECUTADO"/>
    <s v="RICO INDUSTRIAL LTDA"/>
    <s v="SIM"/>
    <s v="EM TRÂMITE"/>
    <s v="EXECUÇÃO"/>
  </r>
  <r>
    <s v="4006618-09.2025.8.26.0068"/>
    <x v="4"/>
    <m/>
    <m/>
    <s v="SP"/>
    <m/>
    <n v="2025"/>
    <n v="297490.67"/>
    <s v="EXTRUSION SYSTEM INDUSTRIA E COMERCIO DE MAQUINAS LTDA"/>
    <s v="RICO INDUSTRIAL LTDA"/>
    <x v="0"/>
    <s v="REQUERIDO"/>
    <s v="RICO INDUSTRIAL LTDA"/>
    <s v="NÃO"/>
    <s v="EM TRÂMITE"/>
    <s v="CONHECIMENTO"/>
  </r>
  <r>
    <s v="4006457-96.2025.8.26.0068"/>
    <x v="0"/>
    <m/>
    <m/>
    <s v="SP"/>
    <m/>
    <n v="2025"/>
    <n v="142904.60999999999"/>
    <s v="PLATA I FUNDO DE INVESTIMENTO EM DIREITOS CREDITORIOS MULTISSEGMENTOS"/>
    <s v="RICO INDUSTRIAL LTDA"/>
    <x v="0"/>
    <s v="EXECUTADO"/>
    <s v="RICO INDUSTRIAL LTDA"/>
    <s v="NÃO"/>
    <s v="EM TRÂMITE"/>
    <s v="EXECUÇÃO"/>
  </r>
  <r>
    <s v="4039082-87.2025.8.26.0100"/>
    <x v="0"/>
    <m/>
    <m/>
    <s v="SP"/>
    <m/>
    <n v="2025"/>
    <n v="463508.09"/>
    <s v="TRUSTHUB SECURITIZADORA S.A."/>
    <s v="ANDREZA ALENCAR, RICO INDUSTRIAL LTDA"/>
    <x v="0"/>
    <s v="EXECUTADO"/>
    <s v="RICO INDUSTRIAL LTDA"/>
    <s v="SIM"/>
    <s v="EM TRÂMITE"/>
    <s v="EXECUÇÃO"/>
  </r>
  <r>
    <s v="4003757-02.2025.8.26.0278"/>
    <x v="1"/>
    <m/>
    <m/>
    <s v="SP"/>
    <m/>
    <n v="2025"/>
    <n v="136715.9"/>
    <s v="SEGPLAST INDUSTRIA E COM DE EMBALAGENS PLASTICAS LTDA"/>
    <s v="BUCAREST BANCO FUNDO DE INVESTIMENTO EM DIREITOS CREDITORIOS INDUSTRIAL - RESPONSABILIDADE LIMITADA, RICO INDUSTRIAL LTDA"/>
    <x v="0"/>
    <s v="REQUERIDO"/>
    <s v="RICO INDUSTRIAL LTDA"/>
    <s v="NÃO"/>
    <s v="EM TRÂMITE"/>
    <s v="CONHECIMENTO"/>
  </r>
  <r>
    <s v="0008836-78.2025.8.26.0068"/>
    <x v="5"/>
    <m/>
    <m/>
    <s v="SP"/>
    <m/>
    <n v="2025"/>
    <n v="24572.41"/>
    <s v="GARCIA PEREZ SOCIEDADE DE ADVOGADOS"/>
    <s v="RICO INDUSTRIAL LTDA"/>
    <x v="0"/>
    <s v="EXECUTADO"/>
    <s v="RICO INDUSTRIAL LTDA"/>
    <s v="NÃO"/>
    <s v="EM TRÂMITE"/>
    <s v="EXECUÇÃO"/>
  </r>
  <r>
    <s v="0002384-13.2025.8.16.0074"/>
    <x v="1"/>
    <m/>
    <m/>
    <s v="PR"/>
    <m/>
    <n v="2025"/>
    <n v="22838.69"/>
    <s v="VIP COMERCIO DE PLASTICOS EIRELI"/>
    <s v="RICO INDUSTRIAL LTDA"/>
    <x v="0"/>
    <s v="REQUERIDO"/>
    <s v="RICO INDUSTRIAL LTDA"/>
    <s v="NÃO"/>
    <s v="EM TRÂMITE"/>
    <s v="CONHECIMENTO"/>
  </r>
  <r>
    <s v="4000546-75.2025.8.26.0045"/>
    <x v="1"/>
    <m/>
    <m/>
    <s v="SP"/>
    <m/>
    <n v="2025"/>
    <n v="127177.86"/>
    <s v="POLIPRINT INDUSTRIA E COMERCIO DE EMBALAGENS PLASTICAS LTDA"/>
    <s v="RICO INDUSTRIAL LTDA"/>
    <x v="0"/>
    <s v="REQUERIDO"/>
    <s v="RICO INDUSTRIAL LTDA"/>
    <s v="NÃO"/>
    <s v="EM TRÂMITE"/>
    <s v="CONHECIMENTO"/>
  </r>
  <r>
    <s v="0007467-64.2025.8.16.0056"/>
    <x v="1"/>
    <m/>
    <m/>
    <s v="PR"/>
    <m/>
    <n v="2025"/>
    <n v="29890.94"/>
    <s v="ABBAPLAST INDUSTRIA DE EMBALAGENS E PRODUTOS ALIMENTICIOS LTDA"/>
    <s v="ARP CONSULTORIA LTDA, BBG FUNDO DE INVESTIMENTO EM DIREITOS CREDITORIOS, INVESTMAR - FACTORING FOMENTO MERCANTIL LTDA, RICO INDUSTRIAL LTDA"/>
    <x v="0"/>
    <s v="REQUERIDO"/>
    <s v="RICO INDUSTRIAL LTDA"/>
    <s v="NÃO"/>
    <s v="EM TRÂMITE"/>
    <s v="CONHECIMENTO"/>
  </r>
  <r>
    <s v="1000250-39.2023.8.26.0542"/>
    <x v="6"/>
    <m/>
    <m/>
    <s v="SP"/>
    <m/>
    <n v="2023"/>
    <n v="233035"/>
    <s v="RICO INDUSTRIAL LTDA"/>
    <s v="GRENN INDUSTRIA E COMERCIO DE PLASTICOS EIRELI, BANCO BRADESCO S/A., FIDC DA INDUSTRIA EXODUS INSTITUCIONAL, BANCO BRADESCO S.A."/>
    <x v="1"/>
    <s v="REQUERENTE"/>
    <s v="RICO INDUSTRIAL LTDA"/>
    <s v="NÃO"/>
    <s v="EM TRÂMITE"/>
    <s v="CONHECIMENTO"/>
  </r>
  <r>
    <s v="1009294-49.2023.8.26.0068"/>
    <x v="6"/>
    <m/>
    <m/>
    <s v="SP"/>
    <m/>
    <n v="2023"/>
    <n v="355731.25"/>
    <s v="RICO INDUSTRIAL LTDA"/>
    <s v="DONAPLASTIC COMERCIO E ATACADISTA DE EMBALAGENS E RESINAS PLASTICAS LTDA, BANCO SAFRA S/A, BANCO BRADESCO S.A., BANCO ABC BRASIL S.A."/>
    <x v="1"/>
    <s v="REQUERENTE"/>
    <s v="RICO INDUSTRIAL LTDA"/>
    <s v="NÃO"/>
    <s v="EM TRÂMITE"/>
    <s v="CONHECIMEN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923C1-CA0E-4681-81D6-34EBF4F66B66}" name="Tabela dinâmica1" cacheId="587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16">
    <pivotField showAll="0"/>
    <pivotField axis="axisPage" multipleItemSelectionAllowed="1" showAll="0">
      <items count="8">
        <item x="6"/>
        <item x="4"/>
        <item x="2"/>
        <item x="1"/>
        <item x="5"/>
        <item h="1" x="3"/>
        <item x="0"/>
        <item t="default"/>
      </items>
    </pivotField>
    <pivotField showAll="0"/>
    <pivotField showAll="0"/>
    <pivotField showAll="0"/>
    <pivotField showAll="0"/>
    <pivotField showAll="0"/>
    <pivotField numFmtId="44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pageFields count="1">
    <pageField fld="1" hier="-1"/>
  </pageFields>
  <dataFields count="1">
    <dataField name="Contagem de ID CLIENTE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B55B3B-8E87-4E3D-B1CB-49CA5B4A5E94}" name="Tabela2" displayName="Tabela2" ref="A1:P19" totalsRowShown="0">
  <autoFilter ref="A1:P19" xr:uid="{96B55B3B-8E87-4E3D-B1CB-49CA5B4A5E94}">
    <filterColumn colId="15">
      <filters>
        <filter val="EXECUÇÃO"/>
      </filters>
    </filterColumn>
  </autoFilter>
  <tableColumns count="16">
    <tableColumn id="1" xr3:uid="{ADB7630D-9ECE-4EAF-BF55-59E1300F861D}" name="NÚMERO PROCESSO"/>
    <tableColumn id="2" xr3:uid="{385F0AC6-338E-4EA9-AB9A-A00AB2997D64}" name="CLASSE"/>
    <tableColumn id="3" xr3:uid="{A18E1A13-9B10-43FC-AA30-DAD6D4DA3852}" name="TIPO"/>
    <tableColumn id="4" xr3:uid="{54D3260B-C76D-4D8D-A2D4-9A0DD67AEED8}" name="TRÂMITE"/>
    <tableColumn id="5" xr3:uid="{6BD6558A-C2EF-4B34-ADE4-8F240B87CB93}" name="FORO"/>
    <tableColumn id="6" xr3:uid="{E3B054DC-4783-4E7C-AFE7-D357808AB5DF}" name="VARA"/>
    <tableColumn id="7" xr3:uid="{E4F5BC54-FBC4-4091-974C-F55287BB24E9}" name="ANO" dataDxfId="1"/>
    <tableColumn id="8" xr3:uid="{9265035A-DD80-405C-A8BA-F3B95B43D4B5}" name="VALOR DA CAUSA" dataDxfId="0" dataCellStyle="Moeda"/>
    <tableColumn id="9" xr3:uid="{33F11620-0D0D-42AD-9A1F-240240EF0799}" name="POLO ATIVO PRINCIPAL"/>
    <tableColumn id="10" xr3:uid="{2D8A608A-EC6F-493C-B138-7A6E585B3FE3}" name="POLO PASSIVO PRINCIPAL"/>
    <tableColumn id="11" xr3:uid="{E7308F99-721E-4B94-80A1-00DE1241B960}" name="POLO CLIENTE"/>
    <tableColumn id="12" xr3:uid="{DFEE5140-7B15-476A-85F5-D7F82354F99A}" name="POSIÇÃO DO CLIENTE"/>
    <tableColumn id="13" xr3:uid="{8ECBBB84-345D-4E80-924C-320F3294751E}" name="ID CLIENTE"/>
    <tableColumn id="14" xr3:uid="{3BD3E4FF-EA96-42EF-AF2C-2AAFA9D788AA}" name="SÓCIO POLO PASSIVO"/>
    <tableColumn id="15" xr3:uid="{44454C7D-3846-4C15-B750-026567FF879A}" name="SITUAÇÃO PROCESSUAL"/>
    <tableColumn id="16" xr3:uid="{8B375769-9E9D-47A9-B5E7-1EB172FBB3FA}" name="F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63FF-1D14-4E4F-BD65-BE6F6B4A8964}">
  <dimension ref="A1:B6"/>
  <sheetViews>
    <sheetView workbookViewId="0">
      <selection activeCell="A3" sqref="A3"/>
    </sheetView>
  </sheetViews>
  <sheetFormatPr defaultRowHeight="14.45"/>
  <cols>
    <col min="1" max="1" width="16.7109375" bestFit="1" customWidth="1"/>
    <col min="2" max="2" width="21.5703125" bestFit="1" customWidth="1"/>
  </cols>
  <sheetData>
    <row r="1" spans="1:2">
      <c r="A1" s="2" t="s">
        <v>0</v>
      </c>
      <c r="B1" t="s">
        <v>1</v>
      </c>
    </row>
    <row r="3" spans="1:2">
      <c r="A3" s="2" t="s">
        <v>2</v>
      </c>
      <c r="B3" t="s">
        <v>3</v>
      </c>
    </row>
    <row r="4" spans="1:2">
      <c r="A4" s="3" t="s">
        <v>4</v>
      </c>
      <c r="B4">
        <v>3</v>
      </c>
    </row>
    <row r="5" spans="1:2">
      <c r="A5" s="3" t="s">
        <v>5</v>
      </c>
      <c r="B5">
        <v>13</v>
      </c>
    </row>
    <row r="6" spans="1:2">
      <c r="A6" s="3" t="s">
        <v>6</v>
      </c>
      <c r="B6">
        <v>16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EF0A-4B32-47C9-900A-449DFC7570DC}">
  <dimension ref="A1:P19"/>
  <sheetViews>
    <sheetView tabSelected="1" topLeftCell="K1" zoomScale="85" zoomScaleNormal="85" workbookViewId="0">
      <selection activeCell="P2" sqref="P2:P20"/>
    </sheetView>
  </sheetViews>
  <sheetFormatPr defaultRowHeight="14.45"/>
  <cols>
    <col min="1" max="1" width="24.28515625" bestFit="1" customWidth="1"/>
    <col min="2" max="2" width="38.42578125" bestFit="1" customWidth="1"/>
    <col min="3" max="4" width="0" hidden="1" customWidth="1"/>
    <col min="6" max="6" width="0" hidden="1" customWidth="1"/>
    <col min="8" max="8" width="17.28515625" customWidth="1"/>
    <col min="9" max="9" width="28.28515625" customWidth="1"/>
    <col min="10" max="10" width="67.28515625" customWidth="1"/>
    <col min="11" max="11" width="14.7109375" customWidth="1"/>
    <col min="12" max="12" width="20.7109375" customWidth="1"/>
    <col min="13" max="13" width="40.7109375" customWidth="1"/>
    <col min="14" max="14" width="21.28515625" customWidth="1"/>
    <col min="15" max="15" width="23.140625" bestFit="1" customWidth="1"/>
    <col min="16" max="16" width="15" bestFit="1" customWidth="1"/>
  </cols>
  <sheetData>
    <row r="1" spans="1:16">
      <c r="A1" t="s">
        <v>7</v>
      </c>
      <c r="B1" t="s">
        <v>0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</row>
    <row r="2" spans="1:16">
      <c r="A2" t="s">
        <v>22</v>
      </c>
      <c r="B2" t="s">
        <v>23</v>
      </c>
      <c r="E2" t="s">
        <v>24</v>
      </c>
      <c r="G2">
        <v>2026</v>
      </c>
      <c r="H2" s="1">
        <v>454606.44</v>
      </c>
      <c r="I2" t="s">
        <v>25</v>
      </c>
      <c r="J2" t="s">
        <v>26</v>
      </c>
      <c r="K2" t="s">
        <v>5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hidden="1">
      <c r="A3" t="s">
        <v>32</v>
      </c>
      <c r="B3" t="s">
        <v>33</v>
      </c>
      <c r="E3" t="s">
        <v>34</v>
      </c>
      <c r="G3">
        <v>2026</v>
      </c>
      <c r="H3" s="1">
        <v>1000</v>
      </c>
      <c r="I3" t="s">
        <v>35</v>
      </c>
      <c r="J3" t="s">
        <v>36</v>
      </c>
      <c r="K3" t="s">
        <v>5</v>
      </c>
      <c r="L3" t="s">
        <v>37</v>
      </c>
      <c r="M3" t="s">
        <v>28</v>
      </c>
      <c r="N3" t="s">
        <v>29</v>
      </c>
      <c r="O3" t="s">
        <v>30</v>
      </c>
      <c r="P3" t="s">
        <v>38</v>
      </c>
    </row>
    <row r="4" spans="1:16">
      <c r="A4" t="s">
        <v>39</v>
      </c>
      <c r="B4" t="s">
        <v>23</v>
      </c>
      <c r="E4" t="s">
        <v>24</v>
      </c>
      <c r="G4">
        <v>2026</v>
      </c>
      <c r="H4" s="1">
        <v>1003270.04</v>
      </c>
      <c r="I4" t="s">
        <v>40</v>
      </c>
      <c r="J4" t="s">
        <v>26</v>
      </c>
      <c r="K4" t="s">
        <v>5</v>
      </c>
      <c r="L4" t="s">
        <v>27</v>
      </c>
      <c r="M4" t="s">
        <v>28</v>
      </c>
      <c r="N4" t="s">
        <v>41</v>
      </c>
      <c r="O4" t="s">
        <v>30</v>
      </c>
      <c r="P4" t="s">
        <v>31</v>
      </c>
    </row>
    <row r="5" spans="1:16" hidden="1">
      <c r="A5" t="s">
        <v>42</v>
      </c>
      <c r="B5" t="s">
        <v>43</v>
      </c>
      <c r="E5" t="s">
        <v>24</v>
      </c>
      <c r="G5">
        <v>2026</v>
      </c>
      <c r="H5" s="1">
        <v>18103.03</v>
      </c>
      <c r="I5" t="s">
        <v>28</v>
      </c>
      <c r="J5" t="s">
        <v>44</v>
      </c>
      <c r="K5" t="s">
        <v>4</v>
      </c>
      <c r="L5" t="s">
        <v>45</v>
      </c>
      <c r="M5" t="s">
        <v>28</v>
      </c>
      <c r="N5" t="s">
        <v>29</v>
      </c>
      <c r="O5" t="s">
        <v>30</v>
      </c>
      <c r="P5" t="s">
        <v>38</v>
      </c>
    </row>
    <row r="6" spans="1:16">
      <c r="A6" t="s">
        <v>46</v>
      </c>
      <c r="B6" t="s">
        <v>23</v>
      </c>
      <c r="E6" t="s">
        <v>24</v>
      </c>
      <c r="G6">
        <v>2026</v>
      </c>
      <c r="H6" s="1">
        <v>1687626.72</v>
      </c>
      <c r="I6" t="s">
        <v>47</v>
      </c>
      <c r="J6" t="s">
        <v>28</v>
      </c>
      <c r="K6" t="s">
        <v>5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</row>
    <row r="7" spans="1:16" hidden="1">
      <c r="A7" t="s">
        <v>48</v>
      </c>
      <c r="B7" t="s">
        <v>49</v>
      </c>
      <c r="E7" t="s">
        <v>24</v>
      </c>
      <c r="G7">
        <v>2025</v>
      </c>
      <c r="H7" s="1">
        <v>90870.66</v>
      </c>
      <c r="I7" t="s">
        <v>50</v>
      </c>
      <c r="J7" t="s">
        <v>51</v>
      </c>
      <c r="K7" t="s">
        <v>4</v>
      </c>
      <c r="L7" t="s">
        <v>52</v>
      </c>
      <c r="M7" t="s">
        <v>28</v>
      </c>
      <c r="N7" t="s">
        <v>29</v>
      </c>
      <c r="O7" t="s">
        <v>30</v>
      </c>
      <c r="P7" t="s">
        <v>38</v>
      </c>
    </row>
    <row r="8" spans="1:16" hidden="1">
      <c r="A8" t="s">
        <v>53</v>
      </c>
      <c r="B8" t="s">
        <v>49</v>
      </c>
      <c r="E8" t="s">
        <v>24</v>
      </c>
      <c r="G8">
        <v>2025</v>
      </c>
      <c r="H8" s="1">
        <v>142904.60999999999</v>
      </c>
      <c r="I8" t="s">
        <v>28</v>
      </c>
      <c r="J8" t="s">
        <v>54</v>
      </c>
      <c r="K8" t="s">
        <v>4</v>
      </c>
      <c r="L8" t="s">
        <v>52</v>
      </c>
      <c r="M8" t="s">
        <v>28</v>
      </c>
      <c r="N8" t="s">
        <v>29</v>
      </c>
      <c r="O8" t="s">
        <v>30</v>
      </c>
      <c r="P8" t="s">
        <v>38</v>
      </c>
    </row>
    <row r="9" spans="1:16">
      <c r="A9" t="s">
        <v>55</v>
      </c>
      <c r="B9" t="s">
        <v>23</v>
      </c>
      <c r="E9" t="s">
        <v>24</v>
      </c>
      <c r="G9">
        <v>2025</v>
      </c>
      <c r="H9" s="1">
        <v>90870.66</v>
      </c>
      <c r="I9" t="s">
        <v>51</v>
      </c>
      <c r="J9" t="s">
        <v>26</v>
      </c>
      <c r="K9" t="s">
        <v>5</v>
      </c>
      <c r="L9" t="s">
        <v>27</v>
      </c>
      <c r="M9" t="s">
        <v>28</v>
      </c>
      <c r="N9" t="s">
        <v>41</v>
      </c>
      <c r="O9" t="s">
        <v>30</v>
      </c>
      <c r="P9" t="s">
        <v>31</v>
      </c>
    </row>
    <row r="10" spans="1:16" hidden="1">
      <c r="A10" t="s">
        <v>56</v>
      </c>
      <c r="B10" t="s">
        <v>57</v>
      </c>
      <c r="E10" t="s">
        <v>24</v>
      </c>
      <c r="G10">
        <v>2025</v>
      </c>
      <c r="H10" s="1">
        <v>297490.67</v>
      </c>
      <c r="I10" t="s">
        <v>58</v>
      </c>
      <c r="J10" t="s">
        <v>28</v>
      </c>
      <c r="K10" t="s">
        <v>5</v>
      </c>
      <c r="L10" t="s">
        <v>37</v>
      </c>
      <c r="M10" t="s">
        <v>28</v>
      </c>
      <c r="N10" t="s">
        <v>29</v>
      </c>
      <c r="O10" t="s">
        <v>30</v>
      </c>
      <c r="P10" t="s">
        <v>38</v>
      </c>
    </row>
    <row r="11" spans="1:16">
      <c r="A11" t="s">
        <v>59</v>
      </c>
      <c r="B11" t="s">
        <v>23</v>
      </c>
      <c r="E11" t="s">
        <v>24</v>
      </c>
      <c r="G11">
        <v>2025</v>
      </c>
      <c r="H11" s="1">
        <v>142904.60999999999</v>
      </c>
      <c r="I11" t="s">
        <v>54</v>
      </c>
      <c r="J11" t="s">
        <v>28</v>
      </c>
      <c r="K11" t="s">
        <v>5</v>
      </c>
      <c r="L11" t="s">
        <v>27</v>
      </c>
      <c r="M11" t="s">
        <v>28</v>
      </c>
      <c r="N11" t="s">
        <v>29</v>
      </c>
      <c r="O11" t="s">
        <v>30</v>
      </c>
      <c r="P11" t="s">
        <v>31</v>
      </c>
    </row>
    <row r="12" spans="1:16">
      <c r="A12" t="s">
        <v>60</v>
      </c>
      <c r="B12" t="s">
        <v>23</v>
      </c>
      <c r="E12" t="s">
        <v>24</v>
      </c>
      <c r="G12">
        <v>2025</v>
      </c>
      <c r="H12" s="1">
        <v>463508.09</v>
      </c>
      <c r="I12" t="s">
        <v>25</v>
      </c>
      <c r="J12" t="s">
        <v>26</v>
      </c>
      <c r="K12" t="s">
        <v>5</v>
      </c>
      <c r="L12" t="s">
        <v>27</v>
      </c>
      <c r="M12" t="s">
        <v>28</v>
      </c>
      <c r="N12" t="s">
        <v>41</v>
      </c>
      <c r="O12" t="s">
        <v>30</v>
      </c>
      <c r="P12" t="s">
        <v>31</v>
      </c>
    </row>
    <row r="13" spans="1:16" hidden="1">
      <c r="A13" t="s">
        <v>61</v>
      </c>
      <c r="B13" t="s">
        <v>33</v>
      </c>
      <c r="E13" t="s">
        <v>24</v>
      </c>
      <c r="G13">
        <v>2025</v>
      </c>
      <c r="H13" s="1">
        <v>136715.9</v>
      </c>
      <c r="I13" t="s">
        <v>62</v>
      </c>
      <c r="J13" t="s">
        <v>63</v>
      </c>
      <c r="K13" t="s">
        <v>5</v>
      </c>
      <c r="L13" t="s">
        <v>37</v>
      </c>
      <c r="M13" t="s">
        <v>28</v>
      </c>
      <c r="N13" t="s">
        <v>29</v>
      </c>
      <c r="O13" t="s">
        <v>30</v>
      </c>
      <c r="P13" t="s">
        <v>38</v>
      </c>
    </row>
    <row r="14" spans="1:16">
      <c r="A14" t="s">
        <v>64</v>
      </c>
      <c r="B14" t="s">
        <v>65</v>
      </c>
      <c r="E14" t="s">
        <v>24</v>
      </c>
      <c r="G14">
        <v>2025</v>
      </c>
      <c r="H14" s="1">
        <v>24572.41</v>
      </c>
      <c r="I14" t="s">
        <v>66</v>
      </c>
      <c r="J14" t="s">
        <v>28</v>
      </c>
      <c r="K14" t="s">
        <v>5</v>
      </c>
      <c r="L14" t="s">
        <v>27</v>
      </c>
      <c r="M14" t="s">
        <v>28</v>
      </c>
      <c r="N14" t="s">
        <v>29</v>
      </c>
      <c r="O14" t="s">
        <v>30</v>
      </c>
      <c r="P14" t="s">
        <v>31</v>
      </c>
    </row>
    <row r="15" spans="1:16" hidden="1">
      <c r="A15" t="s">
        <v>67</v>
      </c>
      <c r="B15" t="s">
        <v>33</v>
      </c>
      <c r="E15" t="s">
        <v>34</v>
      </c>
      <c r="G15">
        <v>2025</v>
      </c>
      <c r="H15" s="1">
        <v>22838.69</v>
      </c>
      <c r="I15" t="s">
        <v>68</v>
      </c>
      <c r="J15" t="s">
        <v>28</v>
      </c>
      <c r="K15" t="s">
        <v>5</v>
      </c>
      <c r="L15" t="s">
        <v>37</v>
      </c>
      <c r="M15" t="s">
        <v>28</v>
      </c>
      <c r="N15" t="s">
        <v>29</v>
      </c>
      <c r="O15" t="s">
        <v>30</v>
      </c>
      <c r="P15" t="s">
        <v>38</v>
      </c>
    </row>
    <row r="16" spans="1:16" hidden="1">
      <c r="A16" t="s">
        <v>69</v>
      </c>
      <c r="B16" t="s">
        <v>33</v>
      </c>
      <c r="E16" t="s">
        <v>24</v>
      </c>
      <c r="G16">
        <v>2025</v>
      </c>
      <c r="H16" s="1">
        <v>127177.86</v>
      </c>
      <c r="I16" t="s">
        <v>70</v>
      </c>
      <c r="J16" t="s">
        <v>28</v>
      </c>
      <c r="K16" t="s">
        <v>5</v>
      </c>
      <c r="L16" t="s">
        <v>37</v>
      </c>
      <c r="M16" t="s">
        <v>28</v>
      </c>
      <c r="N16" t="s">
        <v>29</v>
      </c>
      <c r="O16" t="s">
        <v>30</v>
      </c>
      <c r="P16" t="s">
        <v>38</v>
      </c>
    </row>
    <row r="17" spans="1:16" hidden="1">
      <c r="A17" t="s">
        <v>71</v>
      </c>
      <c r="B17" t="s">
        <v>33</v>
      </c>
      <c r="E17" t="s">
        <v>34</v>
      </c>
      <c r="G17">
        <v>2025</v>
      </c>
      <c r="H17" s="1">
        <v>29890.94</v>
      </c>
      <c r="I17" t="s">
        <v>72</v>
      </c>
      <c r="J17" t="s">
        <v>73</v>
      </c>
      <c r="K17" t="s">
        <v>5</v>
      </c>
      <c r="L17" t="s">
        <v>37</v>
      </c>
      <c r="M17" t="s">
        <v>28</v>
      </c>
      <c r="N17" t="s">
        <v>29</v>
      </c>
      <c r="O17" t="s">
        <v>30</v>
      </c>
      <c r="P17" t="s">
        <v>38</v>
      </c>
    </row>
    <row r="18" spans="1:16" hidden="1">
      <c r="A18" t="s">
        <v>74</v>
      </c>
      <c r="B18" t="s">
        <v>75</v>
      </c>
      <c r="E18" t="s">
        <v>24</v>
      </c>
      <c r="G18">
        <v>2023</v>
      </c>
      <c r="H18" s="1">
        <v>233035</v>
      </c>
      <c r="I18" t="s">
        <v>28</v>
      </c>
      <c r="J18" t="s">
        <v>76</v>
      </c>
      <c r="K18" t="s">
        <v>4</v>
      </c>
      <c r="L18" t="s">
        <v>45</v>
      </c>
      <c r="M18" t="s">
        <v>28</v>
      </c>
      <c r="N18" t="s">
        <v>29</v>
      </c>
      <c r="O18" t="s">
        <v>30</v>
      </c>
      <c r="P18" t="s">
        <v>38</v>
      </c>
    </row>
    <row r="19" spans="1:16" hidden="1">
      <c r="A19" t="s">
        <v>77</v>
      </c>
      <c r="B19" t="s">
        <v>75</v>
      </c>
      <c r="E19" t="s">
        <v>24</v>
      </c>
      <c r="G19">
        <v>2023</v>
      </c>
      <c r="H19" s="1">
        <v>355731.25</v>
      </c>
      <c r="I19" t="s">
        <v>28</v>
      </c>
      <c r="J19" t="s">
        <v>78</v>
      </c>
      <c r="K19" t="s">
        <v>4</v>
      </c>
      <c r="L19" t="s">
        <v>45</v>
      </c>
      <c r="M19" t="s">
        <v>28</v>
      </c>
      <c r="N19" t="s">
        <v>29</v>
      </c>
      <c r="O19" t="s">
        <v>30</v>
      </c>
      <c r="P19" t="s">
        <v>38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2461E5BBA165D48A10426E8DED38358" ma:contentTypeVersion="11" ma:contentTypeDescription="Crie um novo documento." ma:contentTypeScope="" ma:versionID="8b1d0f079541067a37e8aebdec224863">
  <xsd:schema xmlns:xsd="http://www.w3.org/2001/XMLSchema" xmlns:xs="http://www.w3.org/2001/XMLSchema" xmlns:p="http://schemas.microsoft.com/office/2006/metadata/properties" xmlns:ns2="93c7370e-392f-4770-a916-a2ad6455198a" xmlns:ns3="42e32975-5177-465b-8bcf-38bac5b40e74" targetNamespace="http://schemas.microsoft.com/office/2006/metadata/properties" ma:root="true" ma:fieldsID="9133ab2b9b167c595fd7fb1315f65b39" ns2:_="" ns3:_="">
    <xsd:import namespace="93c7370e-392f-4770-a916-a2ad6455198a"/>
    <xsd:import namespace="42e32975-5177-465b-8bcf-38bac5b40e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7370e-392f-4770-a916-a2ad6455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c56ea828-ee11-446e-95b9-ad31c686fb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e32975-5177-465b-8bcf-38bac5b40e7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914e467-4c1c-409e-8998-3299157b59be}" ma:internalName="TaxCatchAll" ma:showField="CatchAllData" ma:web="42e32975-5177-465b-8bcf-38bac5b40e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e32975-5177-465b-8bcf-38bac5b40e74" xsi:nil="true"/>
    <lcf76f155ced4ddcb4097134ff3c332f xmlns="93c7370e-392f-4770-a916-a2ad6455198a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1C581C28-B0C8-4907-BC70-AD5A41D40C9B}"/>
</file>

<file path=customXml/itemProps2.xml><?xml version="1.0" encoding="utf-8"?>
<ds:datastoreItem xmlns:ds="http://schemas.openxmlformats.org/officeDocument/2006/customXml" ds:itemID="{A2ADE83A-F3E5-4362-B203-E047EEF77C8C}"/>
</file>

<file path=customXml/itemProps3.xml><?xml version="1.0" encoding="utf-8"?>
<ds:datastoreItem xmlns:ds="http://schemas.openxmlformats.org/officeDocument/2006/customXml" ds:itemID="{A3789134-98A2-4231-95F6-51F51987C105}"/>
</file>

<file path=customXml/itemProps4.xml><?xml version="1.0" encoding="utf-8"?>
<ds:datastoreItem xmlns:ds="http://schemas.openxmlformats.org/officeDocument/2006/customXml" ds:itemID="{1C763812-92B7-4723-BBAB-8270BA8BC4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Nicolau Olmedo Consul</dc:creator>
  <cp:keywords/>
  <dc:description/>
  <cp:lastModifiedBy>Ariany Elgenio Bispo</cp:lastModifiedBy>
  <cp:revision/>
  <dcterms:created xsi:type="dcterms:W3CDTF">2026-03-04T17:39:41Z</dcterms:created>
  <dcterms:modified xsi:type="dcterms:W3CDTF">2026-03-10T21:01:12Z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0x01010072461E5BBA165D48A10426E8DED38358</vt:lpwstr>
  </property>
  <property fmtid="{D5CDD505-2E9C-101B-9397-08002B2CF9AE}" pid="3" name="MediaServiceImageTags">
    <vt:lpwstr/>
  </property>
</Properties>
</file>